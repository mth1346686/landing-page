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come_HQ" sheetId="1" r:id="rId1"/>
    <sheet name="Dashboard" sheetId="2" r:id="rId2"/>
    <sheet name="Summary" sheetId="3" r:id="rId3"/>
    <sheet name="Payroll_Simulator" sheetId="4" r:id="rId4"/>
    <sheet name="Data_Engine" sheetId="5" r:id="rId5"/>
  </sheets>
  <calcPr calcId="124519" fullCalcOnLoad="1"/>
</workbook>
</file>

<file path=xl/sharedStrings.xml><?xml version="1.0" encoding="utf-8"?>
<sst xmlns="http://schemas.openxmlformats.org/spreadsheetml/2006/main" count="176" uniqueCount="139">
  <si>
    <t>🦈 SHARK GYM</t>
  </si>
  <si>
    <t>WORKFORCE INTELLIGENCE</t>
  </si>
  <si>
    <t>🏛️  HQ Cover</t>
  </si>
  <si>
    <t>📊  Dashboard</t>
  </si>
  <si>
    <t>📈  Summary Memo</t>
  </si>
  <si>
    <t>💰  Payroll Simulator</t>
  </si>
  <si>
    <t>🗄️  Data Engine</t>
  </si>
  <si>
    <t>🦈 SHARK GYM ATHLETIC ENTERPRISE</t>
  </si>
  <si>
    <t>Executive Workforce Analytics, Staffing &amp; Payroll Simulator (EGP)</t>
  </si>
  <si>
    <t>EXECUTIVE BRIEFING &amp; DOCUMENT METADATA</t>
  </si>
  <si>
    <t>Enterprise Entity:</t>
  </si>
  <si>
    <t>Shark Gym Egyptian Athletic Compounds (Cairo / Giza / Alex / Delta)</t>
  </si>
  <si>
    <t>Reporting Fiscal Period:</t>
  </si>
  <si>
    <t>Fiscal Year 2026 Live Performance &amp; Staffing Velocity</t>
  </si>
  <si>
    <t>Base Operating Currency:</t>
  </si>
  <si>
    <t>Egyptian Pounds (L.E / EGP) — All Compensation &amp; Revenue Models</t>
  </si>
  <si>
    <t>Audit &amp; Biometric Sync:</t>
  </si>
  <si>
    <t>100% Shift Attendance Sync via Integrated Biometric Readers</t>
  </si>
  <si>
    <t>Classification:</t>
  </si>
  <si>
    <t>Boardroom Executive Confidential — Workforce Intelligence HQ</t>
  </si>
  <si>
    <t>DIRECT INTERACTIVE JUMP LINKS</t>
  </si>
  <si>
    <t>📊  Open Master Dashboard</t>
  </si>
  <si>
    <t>📈  Executive Board Memo</t>
  </si>
  <si>
    <t>💰  Open Payroll Calculator</t>
  </si>
  <si>
    <t>🗄️  Inspect Raw Data</t>
  </si>
  <si>
    <t xml:space="preserve">  📊 Employee WorkForce Dashboard</t>
  </si>
  <si>
    <t xml:space="preserve">SHARK GYM 🦈 </t>
  </si>
  <si>
    <t xml:space="preserve">  Athletic Staffing, Performance Metrics &amp; Turnover Intelligence (EGP)</t>
  </si>
  <si>
    <t xml:space="preserve">● ACTIVE 24/7  </t>
  </si>
  <si>
    <t>Department / Specialty ▾</t>
  </si>
  <si>
    <t>Strength &amp; Cond.</t>
  </si>
  <si>
    <t>Physio &amp; Rehab</t>
  </si>
  <si>
    <t>Biometric Nutrition</t>
  </si>
  <si>
    <t>Operations &amp; Front</t>
  </si>
  <si>
    <t>Cairo Hub Location ▾</t>
  </si>
  <si>
    <t>New Cairo (Tagamoa)</t>
  </si>
  <si>
    <t>Sheikh Zayed (Arkan)</t>
  </si>
  <si>
    <t>Maadi (Degla)</t>
  </si>
  <si>
    <t>Heliopolis (Korba)</t>
  </si>
  <si>
    <t>Coaching Tier ▾</t>
  </si>
  <si>
    <t>Master Coach (L3)</t>
  </si>
  <si>
    <t>Senior Coach (L2)</t>
  </si>
  <si>
    <t>Junior Coach (L1)</t>
  </si>
  <si>
    <t>Facility Lead</t>
  </si>
  <si>
    <t>Fiscal Year ▾</t>
  </si>
  <si>
    <t>2026 (Live)</t>
  </si>
  <si>
    <t>Reporting Period ▾</t>
  </si>
  <si>
    <t>Jan</t>
  </si>
  <si>
    <t>Feb</t>
  </si>
  <si>
    <t>Mar</t>
  </si>
  <si>
    <t>Apr</t>
  </si>
  <si>
    <t>May</t>
  </si>
  <si>
    <t>Jun</t>
  </si>
  <si>
    <t>Q3 YTD</t>
  </si>
  <si>
    <t>H1 Full</t>
  </si>
  <si>
    <t>👥 TOTAL EMPLOYEES</t>
  </si>
  <si>
    <t>Registered Workforce</t>
  </si>
  <si>
    <t>⚡ ACTIVE EMPLOYEES</t>
  </si>
  <si>
    <t>● 70.7% On-Duty Floor</t>
  </si>
  <si>
    <t>🔄 ATTRITION</t>
  </si>
  <si>
    <t>YTD Departures</t>
  </si>
  <si>
    <t>📉 ATTRITION %</t>
  </si>
  <si>
    <t>29.3%</t>
  </si>
  <si>
    <t>▲ Healthy Fitness Tier</t>
  </si>
  <si>
    <t>⏳ AVG. TENURE</t>
  </si>
  <si>
    <t>5.1 Years</t>
  </si>
  <si>
    <t>High Coach Loyalty</t>
  </si>
  <si>
    <t>⚖️ DIVERSITY</t>
  </si>
  <si>
    <t>60% M / 40% F</t>
  </si>
  <si>
    <t>Balanced Facility Presence</t>
  </si>
  <si>
    <t xml:space="preserve">  📈 Executive Boardroom Memo &amp; Strategic HR Briefing</t>
  </si>
  <si>
    <t>1. EXECUTIVE OVERVIEW (Q3/Q4 HIGHLIGHTS)</t>
  </si>
  <si>
    <t>Shark Gym workforce reached a landmark 454 registered personnel with 321 active on-duty across all 7 Egyptian compounds. Total athletic coaching capacity expanded by +664% in H1, driven by platform expansions in New Cairo and Sheikh Zayed. Overall annual turnover remains healthy at 29.3%, outperforming the MENA fitness benchmark of 35%.</t>
  </si>
  <si>
    <t>2. KEY DIVISION WINS &amp; STABILITY LEADERS</t>
  </si>
  <si>
    <t>• Strength &amp; Conditioning: Lowest attrition in compound history (8%), with 134 certified barbell coaches.
• High Average Tenure: 5.1 years average retention among Master Coaches (L3), ensuring training quality.
• Cairo Hub Density: New Cairo leads with 92 coaches, followed closely by Sheikh Zayed at 84 coaches.</t>
  </si>
  <si>
    <t>3. OPERATIONAL ACTION ITEMS &amp; INCENTIVES (EGP)</t>
  </si>
  <si>
    <t>• VIP Sales Restructuring: Sales turnover is currently at 39%. Recommend restructuring commission structures in EGP.
• Physiotherapy Scaling: Physio demand up 40% in Maadi Degla; recruit 12 additional biometric therapists.
• Gender Floor Parity: Maintain current 60% M / 40% F ratio across all morning and evening shifts.</t>
  </si>
  <si>
    <t>4. MONTHLY TARGET PROGRESS &amp; KPI SCORECARDS (EGP)</t>
  </si>
  <si>
    <t>🏆 Monthly PT Revenue Target (EGP 2.0M)</t>
  </si>
  <si>
    <t>█████████░  EGP 1,820,000 Actual</t>
  </si>
  <si>
    <t>91.0% Achieved</t>
  </si>
  <si>
    <t>🏋️ Master Coach Hiring Target (35 Coaches)</t>
  </si>
  <si>
    <t>██████████  34 Coaches Onboarded</t>
  </si>
  <si>
    <t>97.1% Achieved</t>
  </si>
  <si>
    <t>⚡ Floor Shift Biometric Compliance (95%)</t>
  </si>
  <si>
    <t>██████████  98.7% Punch-in Rate</t>
  </si>
  <si>
    <t>103.9% Benchmark</t>
  </si>
  <si>
    <t>🛡️ Member Retention Index (Target 80%)</t>
  </si>
  <si>
    <t>█████████░  86.5% Active Athletes</t>
  </si>
  <si>
    <t>+6.5% Surplus</t>
  </si>
  <si>
    <t xml:space="preserve">  💰 Coach Compensation &amp; VIP Session Revenue Simulator (EGP)</t>
  </si>
  <si>
    <t>Coach Name</t>
  </si>
  <si>
    <t>Compound Hub</t>
  </si>
  <si>
    <t>Base Salary</t>
  </si>
  <si>
    <t>PT Sessions</t>
  </si>
  <si>
    <t>Session Rate</t>
  </si>
  <si>
    <t>PT Revenue</t>
  </si>
  <si>
    <t>Gym Margin (40%)</t>
  </si>
  <si>
    <t>Net Coach Payout</t>
  </si>
  <si>
    <t>Sherif El-Bendary</t>
  </si>
  <si>
    <t>New Cairo</t>
  </si>
  <si>
    <t>Dr. Nourhan Tarek</t>
  </si>
  <si>
    <t>Maadi Degla</t>
  </si>
  <si>
    <t>Tamer Hosny</t>
  </si>
  <si>
    <t>Sheikh Zayed</t>
  </si>
  <si>
    <t>Ahmed Zaki</t>
  </si>
  <si>
    <t>Heliopolis</t>
  </si>
  <si>
    <t>Mariam Mansour</t>
  </si>
  <si>
    <t>Karim Hegazy</t>
  </si>
  <si>
    <t>6th October</t>
  </si>
  <si>
    <t>TOTALS &amp; MONTHLY ACCRUAL</t>
  </si>
  <si>
    <t>AVG / BLENDED</t>
  </si>
  <si>
    <t>Department</t>
  </si>
  <si>
    <t>Headcount</t>
  </si>
  <si>
    <t>Share %</t>
  </si>
  <si>
    <t>VIP Sales &amp; Memberships</t>
  </si>
  <si>
    <t>Finance &amp; Admin</t>
  </si>
  <si>
    <t>Strength &amp; Conditioning</t>
  </si>
  <si>
    <t>Month</t>
  </si>
  <si>
    <t>Active HC</t>
  </si>
  <si>
    <t>Departures</t>
  </si>
  <si>
    <t>Attrition Rate</t>
  </si>
  <si>
    <t>Sales &amp; VIP</t>
  </si>
  <si>
    <t>Marketing</t>
  </si>
  <si>
    <t>Operations</t>
  </si>
  <si>
    <t>Finance</t>
  </si>
  <si>
    <t>Strength Coaches</t>
  </si>
  <si>
    <t>Rating Tier</t>
  </si>
  <si>
    <t>Coaches Count</t>
  </si>
  <si>
    <t>Outstanding</t>
  </si>
  <si>
    <t>Exceeds Expectations</t>
  </si>
  <si>
    <t>Meets Expectations</t>
  </si>
  <si>
    <t>Needs Improvement</t>
  </si>
  <si>
    <t>Poor / Assessment</t>
  </si>
  <si>
    <t>Cairo Hub Location</t>
  </si>
  <si>
    <t>Staff Count</t>
  </si>
  <si>
    <t>6th October Arena</t>
  </si>
  <si>
    <t>Alexandria Flagship</t>
  </si>
  <si>
    <t>Katameya Heights</t>
  </si>
</sst>
</file>

<file path=xl/styles.xml><?xml version="1.0" encoding="utf-8"?>
<styleSheet xmlns="http://schemas.openxmlformats.org/spreadsheetml/2006/main">
  <numFmts count="3">
    <numFmt numFmtId="164" formatCode="&quot;EGP &quot;#,##0"/>
    <numFmt numFmtId="165" formatCode="#,##0"/>
    <numFmt numFmtId="166" formatCode="0.0%"/>
  </numFmts>
  <fonts count="24">
    <font>
      <sz val="11"/>
      <color theme="1"/>
      <name val="Calibri"/>
      <family val="2"/>
      <scheme val="minor"/>
    </font>
    <font>
      <b/>
      <sz val="14"/>
      <color rgb="FFFFFFFF"/>
      <name val="Segoe UI"/>
      <family val="2"/>
    </font>
    <font>
      <b/>
      <sz val="24"/>
      <color rgb="FFF59E0B"/>
      <name val="Segoe UI"/>
      <family val="2"/>
    </font>
    <font>
      <b/>
      <sz val="8.5"/>
      <color rgb="FFF59E0B"/>
      <name val="Segoe UI"/>
      <family val="2"/>
    </font>
    <font>
      <sz val="12"/>
      <color rgb="FFE9D5FF"/>
      <name val="Segoe UI"/>
      <family val="2"/>
    </font>
    <font>
      <b/>
      <sz val="11"/>
      <color rgb="FFFFFFFF"/>
      <name val="Segoe UI"/>
      <family val="2"/>
    </font>
    <font>
      <b/>
      <sz val="10.5"/>
      <color rgb="FF3E1C66"/>
      <name val="Segoe UI"/>
      <family val="2"/>
    </font>
    <font>
      <b/>
      <sz val="10"/>
      <color rgb="FF4A1572"/>
      <name val="Segoe UI"/>
      <family val="2"/>
    </font>
    <font>
      <sz val="10"/>
      <color rgb="FF2A1147"/>
      <name val="Segoe UI"/>
      <family val="2"/>
    </font>
    <font>
      <sz val="10"/>
      <color rgb="FFE9D5FF"/>
      <name val="Segoe UI"/>
      <family val="2"/>
    </font>
    <font>
      <b/>
      <sz val="16"/>
      <color rgb="FF2A0E4F"/>
      <name val="Segoe UI"/>
      <family val="2"/>
    </font>
    <font>
      <b/>
      <sz val="10"/>
      <color rgb="FFFFFFFF"/>
      <name val="Segoe UI"/>
      <family val="2"/>
    </font>
    <font>
      <i/>
      <sz val="9"/>
      <color rgb="FF6B21A8"/>
      <name val="Segoe UI"/>
      <family val="2"/>
    </font>
    <font>
      <b/>
      <sz val="9"/>
      <color rgb="FF3E1C66"/>
      <name val="Segoe UI"/>
      <family val="2"/>
    </font>
    <font>
      <sz val="8.5"/>
      <color rgb="FF4A1572"/>
      <name val="Segoe UI"/>
      <family val="2"/>
    </font>
    <font>
      <b/>
      <sz val="8.5"/>
      <color rgb="FF5A228F"/>
      <name val="Segoe UI"/>
      <family val="2"/>
    </font>
    <font>
      <b/>
      <sz val="18"/>
      <color rgb="FF2A0E4F"/>
      <name val="Segoe UI"/>
      <family val="2"/>
    </font>
    <font>
      <sz val="8"/>
      <color rgb="FF68239E"/>
      <name val="Segoe UI"/>
      <family val="2"/>
    </font>
    <font>
      <b/>
      <sz val="16"/>
      <color rgb="FFFFFFFF"/>
      <name val="Segoe UI"/>
      <family val="2"/>
    </font>
    <font>
      <sz val="9.5"/>
      <color rgb="FF2A1147"/>
      <name val="Segoe UI"/>
      <family val="2"/>
    </font>
    <font>
      <b/>
      <sz val="9.5"/>
      <color rgb="FF2A1147"/>
      <name val="Segoe UI"/>
      <family val="2"/>
    </font>
    <font>
      <b/>
      <sz val="9.5"/>
      <color rgb="FF166534"/>
      <name val="Segoe UI"/>
      <family val="2"/>
    </font>
    <font>
      <b/>
      <sz val="9.5"/>
      <color rgb="FF4A1572"/>
      <name val="Segoe UI"/>
      <family val="2"/>
    </font>
    <font>
      <sz val="9"/>
      <color theme="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3E1C66"/>
        <bgColor indexed="64"/>
      </patternFill>
    </fill>
    <fill>
      <patternFill patternType="solid">
        <fgColor rgb="FF5A228F"/>
        <bgColor indexed="64"/>
      </patternFill>
    </fill>
    <fill>
      <patternFill patternType="solid">
        <fgColor rgb="FFF7F3FB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8239E"/>
        <bgColor indexed="64"/>
      </patternFill>
    </fill>
    <fill>
      <patternFill patternType="solid">
        <fgColor rgb="FFF0E6F7"/>
        <bgColor indexed="64"/>
      </patternFill>
    </fill>
    <fill>
      <patternFill patternType="solid">
        <fgColor rgb="FFFCFAFF"/>
        <bgColor indexed="64"/>
      </patternFill>
    </fill>
    <fill>
      <patternFill patternType="solid">
        <fgColor rgb="FFDCFCE7"/>
        <bgColor indexed="64"/>
      </patternFill>
    </fill>
  </fills>
  <borders count="13">
    <border>
      <left/>
      <right/>
      <top/>
      <bottom/>
      <diagonal/>
    </border>
    <border>
      <left style="medium">
        <color rgb="FF9333EA"/>
      </left>
      <right/>
      <top style="thin">
        <color rgb="FFD5C4EA"/>
      </top>
      <bottom style="thin">
        <color rgb="FFD5C4EA"/>
      </bottom>
      <diagonal/>
    </border>
    <border>
      <left style="thin">
        <color rgb="FFD5C4EA"/>
      </left>
      <right style="thin">
        <color rgb="FFD5C4EA"/>
      </right>
      <top style="thin">
        <color rgb="FFD5C4EA"/>
      </top>
      <bottom style="thin">
        <color rgb="FFD5C4EA"/>
      </bottom>
      <diagonal/>
    </border>
    <border>
      <left style="thin">
        <color rgb="FFA855F7"/>
      </left>
      <right style="thin">
        <color rgb="FFA855F7"/>
      </right>
      <top style="thin">
        <color rgb="FFA855F7"/>
      </top>
      <bottom style="thin">
        <color rgb="FFA855F7"/>
      </bottom>
      <diagonal/>
    </border>
    <border>
      <left style="thin">
        <color rgb="FF5A2283"/>
      </left>
      <right style="thin">
        <color rgb="FF5A2283"/>
      </right>
      <top style="thin">
        <color rgb="FF5A2283"/>
      </top>
      <bottom style="thin">
        <color rgb="FF5A2283"/>
      </bottom>
      <diagonal/>
    </border>
    <border>
      <left/>
      <right/>
      <top/>
      <bottom style="thin">
        <color rgb="FFD5C4EA"/>
      </bottom>
      <diagonal/>
    </border>
    <border>
      <left style="thin">
        <color rgb="FFE0D2EF"/>
      </left>
      <right style="thin">
        <color rgb="FFE0D2EF"/>
      </right>
      <top style="thin">
        <color rgb="FFE0D2EF"/>
      </top>
      <bottom style="thin">
        <color rgb="FFE0D2EF"/>
      </bottom>
      <diagonal/>
    </border>
    <border>
      <left style="thin">
        <color rgb="FFD5C4EA"/>
      </left>
      <right style="thin">
        <color rgb="FFD5C4EA"/>
      </right>
      <top style="thin">
        <color rgb="FFD5C4EA"/>
      </top>
      <bottom/>
      <diagonal/>
    </border>
    <border>
      <left style="thin">
        <color rgb="FFD5C4EA"/>
      </left>
      <right style="thin">
        <color rgb="FFD5C4EA"/>
      </right>
      <top/>
      <bottom/>
      <diagonal/>
    </border>
    <border>
      <left style="thin">
        <color rgb="FFD5C4EA"/>
      </left>
      <right style="thin">
        <color rgb="FFD5C4EA"/>
      </right>
      <top/>
      <bottom style="thin">
        <color rgb="FFD5C4EA"/>
      </bottom>
      <diagonal/>
    </border>
    <border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  <border>
      <left style="thin">
        <color rgb="FF2E0A4F"/>
      </left>
      <right style="thin">
        <color rgb="FF2E0A4F"/>
      </right>
      <top style="thin">
        <color rgb="FF2E0A4F"/>
      </top>
      <bottom style="thin">
        <color rgb="FF2E0A4F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vertical="center"/>
    </xf>
    <xf numFmtId="0" fontId="8" fillId="6" borderId="2" xfId="0" applyFont="1" applyFill="1" applyBorder="1" applyAlignment="1">
      <alignment vertical="center"/>
    </xf>
    <xf numFmtId="0" fontId="9" fillId="2" borderId="0" xfId="0" applyFont="1" applyFill="1" applyAlignment="1">
      <alignment horizontal="left" vertical="center" indent="1"/>
    </xf>
    <xf numFmtId="0" fontId="5" fillId="3" borderId="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vertical="center"/>
    </xf>
    <xf numFmtId="0" fontId="11" fillId="7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vertical="center"/>
    </xf>
    <xf numFmtId="0" fontId="13" fillId="8" borderId="2" xfId="0" applyFont="1" applyFill="1" applyBorder="1" applyAlignment="1">
      <alignment horizontal="left" indent="1"/>
    </xf>
    <xf numFmtId="0" fontId="14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/>
    </xf>
    <xf numFmtId="0" fontId="16" fillId="6" borderId="8" xfId="0" applyFont="1" applyFill="1" applyBorder="1" applyAlignment="1">
      <alignment horizontal="center" vertical="center"/>
    </xf>
    <xf numFmtId="0" fontId="17" fillId="9" borderId="9" xfId="0" applyFont="1" applyFill="1" applyBorder="1" applyAlignment="1">
      <alignment horizontal="center" vertical="top"/>
    </xf>
    <xf numFmtId="0" fontId="18" fillId="2" borderId="0" xfId="0" applyFont="1" applyFill="1" applyAlignment="1">
      <alignment horizontal="left" vertical="center" indent="1"/>
    </xf>
    <xf numFmtId="0" fontId="19" fillId="6" borderId="2" xfId="0" applyFont="1" applyFill="1" applyBorder="1" applyAlignment="1">
      <alignment vertical="top" wrapText="1"/>
    </xf>
    <xf numFmtId="0" fontId="20" fillId="5" borderId="2" xfId="0" applyFont="1" applyFill="1" applyBorder="1" applyAlignment="1">
      <alignment vertical="center"/>
    </xf>
    <xf numFmtId="0" fontId="21" fillId="10" borderId="10" xfId="0" applyFont="1" applyFill="1" applyBorder="1" applyAlignment="1">
      <alignment horizontal="center" vertical="center"/>
    </xf>
    <xf numFmtId="0" fontId="22" fillId="6" borderId="2" xfId="0" applyFont="1" applyFill="1" applyBorder="1" applyAlignment="1">
      <alignment horizontal="right" vertical="center"/>
    </xf>
    <xf numFmtId="0" fontId="11" fillId="2" borderId="11" xfId="0" applyFont="1" applyFill="1" applyBorder="1" applyAlignment="1">
      <alignment horizontal="center"/>
    </xf>
    <xf numFmtId="0" fontId="23" fillId="0" borderId="12" xfId="0" applyFont="1" applyBorder="1" applyAlignment="1">
      <alignment vertical="center"/>
    </xf>
    <xf numFmtId="164" fontId="23" fillId="0" borderId="12" xfId="0" applyNumberFormat="1" applyFont="1" applyBorder="1" applyAlignment="1">
      <alignment horizontal="right" vertical="center"/>
    </xf>
    <xf numFmtId="165" fontId="23" fillId="0" borderId="12" xfId="0" applyNumberFormat="1" applyFont="1" applyBorder="1" applyAlignment="1">
      <alignment horizontal="right" vertical="center"/>
    </xf>
    <xf numFmtId="166" fontId="23" fillId="0" borderId="1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50" b="1" baseline="0">
                <a:solidFill>
                  <a:srgbClr val="2A0E4F"/>
                </a:solidFill>
              </a:defRPr>
            </a:pPr>
            <a:r>
              <a:rPr lang="en-US" sz="950" b="1" baseline="0">
                <a:solidFill>
                  <a:srgbClr val="2A0E4F"/>
                </a:solidFill>
              </a:rPr>
              <a:t>Headcount by Department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Headcount by Department</c:v>
          </c:tx>
          <c:dPt>
            <c:idx val="0"/>
            <c:spPr>
              <a:solidFill>
                <a:srgbClr val="3E1C66"/>
              </a:solidFill>
            </c:spPr>
          </c:dPt>
          <c:dPt>
            <c:idx val="1"/>
            <c:spPr>
              <a:solidFill>
                <a:srgbClr val="5A228F"/>
              </a:solidFill>
            </c:spPr>
          </c:dPt>
          <c:dPt>
            <c:idx val="2"/>
            <c:spPr>
              <a:solidFill>
                <a:srgbClr val="7B3DBD"/>
              </a:solidFill>
            </c:spPr>
          </c:dPt>
          <c:dPt>
            <c:idx val="3"/>
            <c:spPr>
              <a:solidFill>
                <a:srgbClr val="9B5DE5"/>
              </a:solidFill>
            </c:spPr>
          </c:dPt>
          <c:dPt>
            <c:idx val="4"/>
            <c:spPr>
              <a:solidFill>
                <a:srgbClr val="C084FC"/>
              </a:solidFill>
            </c:spPr>
          </c:dPt>
          <c:dPt>
            <c:idx val="5"/>
            <c:spPr>
              <a:solidFill>
                <a:srgbClr val="E9D5FF"/>
              </a:solidFill>
            </c:spPr>
          </c:dPt>
          <c:cat>
            <c:strRef>
              <c:f>Data_Engine!$A$2:$A$7</c:f>
              <c:strCache>
                <c:ptCount val="6"/>
                <c:pt idx="0">
                  <c:v>Operations &amp; Front</c:v>
                </c:pt>
                <c:pt idx="1">
                  <c:v>VIP Sales &amp; Memberships</c:v>
                </c:pt>
                <c:pt idx="2">
                  <c:v>Physio &amp; Rehab</c:v>
                </c:pt>
                <c:pt idx="3">
                  <c:v>Finance &amp; Admin</c:v>
                </c:pt>
                <c:pt idx="4">
                  <c:v>Biometric Nutrition</c:v>
                </c:pt>
                <c:pt idx="5">
                  <c:v>Strength &amp; Conditioning</c:v>
                </c:pt>
              </c:strCache>
            </c:strRef>
          </c:cat>
          <c:val>
            <c:numRef>
              <c:f>Data_Engine!$B$2:$B$7</c:f>
              <c:numCache>
                <c:formatCode>General</c:formatCode>
                <c:ptCount val="6"/>
                <c:pt idx="0">
                  <c:v>28</c:v>
                </c:pt>
                <c:pt idx="1">
                  <c:v>47</c:v>
                </c:pt>
                <c:pt idx="2">
                  <c:v>58</c:v>
                </c:pt>
                <c:pt idx="3">
                  <c:v>83</c:v>
                </c:pt>
                <c:pt idx="4">
                  <c:v>104</c:v>
                </c:pt>
                <c:pt idx="5">
                  <c:v>134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FFFFFF"/>
    </a:solidFill>
    <a:ln w="12700">
      <a:solidFill>
        <a:srgbClr val="D5C4E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50" b="1" baseline="0">
                <a:solidFill>
                  <a:srgbClr val="2A0E4F"/>
                </a:solidFill>
              </a:defRPr>
            </a:pPr>
            <a:r>
              <a:rPr lang="en-US" sz="950" b="1" baseline="0">
                <a:solidFill>
                  <a:srgbClr val="2A0E4F"/>
                </a:solidFill>
              </a:rPr>
              <a:t>Headcount Trend (Monthly)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Active Staff</c:v>
          </c:tx>
          <c:spPr>
            <a:solidFill>
              <a:srgbClr val="7B3DBD">
                <a:alpha val="65000"/>
              </a:srgbClr>
            </a:solidFill>
            <a:ln w="25400">
              <a:solidFill>
                <a:srgbClr val="4A1572"/>
              </a:solidFill>
            </a:ln>
          </c:spPr>
          <c:dLbls>
            <c:txPr>
              <a:bodyPr/>
              <a:lstStyle/>
              <a:p>
                <a:pPr>
                  <a:defRPr sz="800" b="1" baseline="0"/>
                </a:pPr>
                <a:endParaRPr lang="en-US"/>
              </a:p>
            </c:txPr>
            <c:showVal val="1"/>
          </c:dLbls>
          <c:cat>
            <c:strRef>
              <c:f>Data_Engine!$E$2:$E$7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Data_Engine!$F$2:$F$7</c:f>
              <c:numCache>
                <c:formatCode>General</c:formatCode>
                <c:ptCount val="6"/>
                <c:pt idx="0">
                  <c:v>42</c:v>
                </c:pt>
                <c:pt idx="1">
                  <c:v>90</c:v>
                </c:pt>
                <c:pt idx="2">
                  <c:v>161</c:v>
                </c:pt>
                <c:pt idx="3">
                  <c:v>247</c:v>
                </c:pt>
                <c:pt idx="4">
                  <c:v>284</c:v>
                </c:pt>
                <c:pt idx="5">
                  <c:v>321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midCat"/>
      </c:valAx>
    </c:plotArea>
    <c:plotVisOnly val="1"/>
  </c:chart>
  <c:spPr>
    <a:solidFill>
      <a:srgbClr val="FFFFFF"/>
    </a:solidFill>
    <a:ln w="12700">
      <a:solidFill>
        <a:srgbClr val="D5C4EA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50" b="1" baseline="0">
                <a:solidFill>
                  <a:srgbClr val="2A0E4F"/>
                </a:solidFill>
              </a:defRPr>
            </a:pPr>
            <a:r>
              <a:rPr lang="en-US" sz="950" b="1" baseline="0">
                <a:solidFill>
                  <a:srgbClr val="2A0E4F"/>
                </a:solidFill>
              </a:rPr>
              <a:t>Attrition % Department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Attrition %</c:v>
          </c:tx>
          <c:spPr>
            <a:solidFill>
              <a:srgbClr val="8B48D7"/>
            </a:solidFill>
          </c:spPr>
          <c:dLbls>
            <c:numFmt formatCode="0%" sourceLinked="0"/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Data_Engine!$A$11:$A$16</c:f>
              <c:strCache>
                <c:ptCount val="6"/>
                <c:pt idx="0">
                  <c:v>Sales &amp; VIP</c:v>
                </c:pt>
                <c:pt idx="1">
                  <c:v>Marketing</c:v>
                </c:pt>
                <c:pt idx="2">
                  <c:v>Operations</c:v>
                </c:pt>
                <c:pt idx="3">
                  <c:v>Physio &amp; Rehab</c:v>
                </c:pt>
                <c:pt idx="4">
                  <c:v>Finance</c:v>
                </c:pt>
                <c:pt idx="5">
                  <c:v>Strength Coaches</c:v>
                </c:pt>
              </c:strCache>
            </c:strRef>
          </c:cat>
          <c:val>
            <c:numRef>
              <c:f>Data_Engine!$B$11:$B$16</c:f>
              <c:numCache>
                <c:formatCode>General</c:formatCode>
                <c:ptCount val="6"/>
                <c:pt idx="0">
                  <c:v>0.39</c:v>
                </c:pt>
                <c:pt idx="1">
                  <c:v>0.3</c:v>
                </c:pt>
                <c:pt idx="2">
                  <c:v>0.29</c:v>
                </c:pt>
                <c:pt idx="3">
                  <c:v>0.25</c:v>
                </c:pt>
                <c:pt idx="4">
                  <c:v>0.12</c:v>
                </c:pt>
                <c:pt idx="5">
                  <c:v>0.08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solidFill>
      <a:srgbClr val="FFFFFF"/>
    </a:solidFill>
    <a:ln w="12700">
      <a:solidFill>
        <a:srgbClr val="D5C4EA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50" b="1" baseline="0">
                <a:solidFill>
                  <a:srgbClr val="2A0E4F"/>
                </a:solidFill>
              </a:defRPr>
            </a:pPr>
            <a:r>
              <a:rPr lang="en-US" sz="950" b="1" baseline="0">
                <a:solidFill>
                  <a:srgbClr val="2A0E4F"/>
                </a:solidFill>
              </a:rPr>
              <a:t>Active HC vs Attrition HC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Active</c:v>
          </c:tx>
          <c:spPr>
            <a:solidFill>
              <a:srgbClr val="5A228F"/>
            </a:solidFill>
          </c:spPr>
          <c:dLbls>
            <c:txPr>
              <a:bodyPr/>
              <a:lstStyle/>
              <a:p>
                <a:pPr>
                  <a:defRPr sz="750" baseline="0"/>
                </a:pPr>
                <a:endParaRPr lang="en-US"/>
              </a:p>
            </c:txPr>
            <c:showVal val="1"/>
          </c:dLbls>
          <c:cat>
            <c:strRef>
              <c:f>Data_Engine!$E$2:$E$7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Data_Engine!$F$2:$F$7</c:f>
              <c:numCache>
                <c:formatCode>General</c:formatCode>
                <c:ptCount val="6"/>
                <c:pt idx="0">
                  <c:v>42</c:v>
                </c:pt>
                <c:pt idx="1">
                  <c:v>90</c:v>
                </c:pt>
                <c:pt idx="2">
                  <c:v>161</c:v>
                </c:pt>
                <c:pt idx="3">
                  <c:v>247</c:v>
                </c:pt>
                <c:pt idx="4">
                  <c:v>284</c:v>
                </c:pt>
                <c:pt idx="5">
                  <c:v>321</c:v>
                </c:pt>
              </c:numCache>
            </c:numRef>
          </c:val>
        </c:ser>
        <c:ser>
          <c:idx val="1"/>
          <c:order val="1"/>
          <c:tx>
            <c:v>Attrition</c:v>
          </c:tx>
          <c:spPr>
            <a:solidFill>
              <a:srgbClr val="C084FC"/>
            </a:solidFill>
          </c:spPr>
          <c:dLbls>
            <c:txPr>
              <a:bodyPr/>
              <a:lstStyle/>
              <a:p>
                <a:pPr>
                  <a:defRPr sz="750" baseline="0"/>
                </a:pPr>
                <a:endParaRPr lang="en-US"/>
              </a:p>
            </c:txPr>
            <c:showVal val="1"/>
          </c:dLbls>
          <c:cat>
            <c:strRef>
              <c:f>Data_Engine!$E$2:$E$7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Data_Engine!$G$2:$G$7</c:f>
              <c:numCache>
                <c:formatCode>General</c:formatCode>
                <c:ptCount val="6"/>
                <c:pt idx="0">
                  <c:v>26</c:v>
                </c:pt>
                <c:pt idx="1">
                  <c:v>13</c:v>
                </c:pt>
                <c:pt idx="2">
                  <c:v>25</c:v>
                </c:pt>
                <c:pt idx="3">
                  <c:v>27</c:v>
                </c:pt>
                <c:pt idx="4">
                  <c:v>18</c:v>
                </c:pt>
                <c:pt idx="5">
                  <c:v>24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t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spPr>
    <a:solidFill>
      <a:srgbClr val="FFFFFF"/>
    </a:solidFill>
    <a:ln w="12700">
      <a:solidFill>
        <a:srgbClr val="D5C4EA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50" b="1" baseline="0">
                <a:solidFill>
                  <a:srgbClr val="2A0E4F"/>
                </a:solidFill>
              </a:defRPr>
            </a:pPr>
            <a:r>
              <a:rPr lang="en-US" sz="950" b="1" baseline="0">
                <a:solidFill>
                  <a:srgbClr val="2A0E4F"/>
                </a:solidFill>
              </a:rPr>
              <a:t>Performance Rating Distribution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Coaches</c:v>
          </c:tx>
          <c:spPr>
            <a:solidFill>
              <a:srgbClr val="7B3DBD"/>
            </a:solidFill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Data_Engine!$E$11:$E$15</c:f>
              <c:strCache>
                <c:ptCount val="5"/>
                <c:pt idx="0">
                  <c:v>Outstanding</c:v>
                </c:pt>
                <c:pt idx="1">
                  <c:v>Exceeds Expectations</c:v>
                </c:pt>
                <c:pt idx="2">
                  <c:v>Meets Expectations</c:v>
                </c:pt>
                <c:pt idx="3">
                  <c:v>Needs Improvement</c:v>
                </c:pt>
                <c:pt idx="4">
                  <c:v>Poor / Assessment</c:v>
                </c:pt>
              </c:strCache>
            </c:strRef>
          </c:cat>
          <c:val>
            <c:numRef>
              <c:f>Data_Engine!$F$11:$F$15</c:f>
              <c:numCache>
                <c:formatCode>General</c:formatCode>
                <c:ptCount val="5"/>
                <c:pt idx="0">
                  <c:v>19</c:v>
                </c:pt>
                <c:pt idx="1">
                  <c:v>55</c:v>
                </c:pt>
                <c:pt idx="2">
                  <c:v>80</c:v>
                </c:pt>
                <c:pt idx="3">
                  <c:v>130</c:v>
                </c:pt>
                <c:pt idx="4">
                  <c:v>170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l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b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spPr>
    <a:solidFill>
      <a:srgbClr val="FFFFFF"/>
    </a:solidFill>
    <a:ln w="12700">
      <a:solidFill>
        <a:srgbClr val="D5C4EA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50" b="1" baseline="0">
                <a:solidFill>
                  <a:srgbClr val="2A0E4F"/>
                </a:solidFill>
              </a:defRPr>
            </a:pPr>
            <a:r>
              <a:rPr lang="en-US" sz="950" b="1" baseline="0">
                <a:solidFill>
                  <a:srgbClr val="2A0E4F"/>
                </a:solidFill>
              </a:rPr>
              <a:t>Employees by Location (Egyptian Compounds)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Staff Count</c:v>
          </c:tx>
          <c:spPr>
            <a:solidFill>
              <a:srgbClr val="682A99"/>
            </a:solidFill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Data_Engine!$A$19:$A$25</c:f>
              <c:strCache>
                <c:ptCount val="7"/>
                <c:pt idx="0">
                  <c:v>New Cairo (Tagamoa)</c:v>
                </c:pt>
                <c:pt idx="1">
                  <c:v>Sheikh Zayed (Arkan)</c:v>
                </c:pt>
                <c:pt idx="2">
                  <c:v>Maadi (Degla)</c:v>
                </c:pt>
                <c:pt idx="3">
                  <c:v>Heliopolis (Korba)</c:v>
                </c:pt>
                <c:pt idx="4">
                  <c:v>6th October Arena</c:v>
                </c:pt>
                <c:pt idx="5">
                  <c:v>Alexandria Flagship</c:v>
                </c:pt>
                <c:pt idx="6">
                  <c:v>Katameya Heights</c:v>
                </c:pt>
              </c:strCache>
            </c:strRef>
          </c:cat>
          <c:val>
            <c:numRef>
              <c:f>Data_Engine!$B$19:$B$25</c:f>
              <c:numCache>
                <c:formatCode>General</c:formatCode>
                <c:ptCount val="7"/>
                <c:pt idx="0">
                  <c:v>92</c:v>
                </c:pt>
                <c:pt idx="1">
                  <c:v>84</c:v>
                </c:pt>
                <c:pt idx="2">
                  <c:v>76</c:v>
                </c:pt>
                <c:pt idx="3">
                  <c:v>68</c:v>
                </c:pt>
                <c:pt idx="4">
                  <c:v>54</c:v>
                </c:pt>
                <c:pt idx="5">
                  <c:v>48</c:v>
                </c:pt>
                <c:pt idx="6">
                  <c:v>32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spPr>
    <a:solidFill>
      <a:srgbClr val="FFFFFF"/>
    </a:solidFill>
    <a:ln w="12700">
      <a:solidFill>
        <a:srgbClr val="D5C4E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0</xdr:rowOff>
    </xdr:from>
    <xdr:to>
      <xdr:col>6</xdr:col>
      <xdr:colOff>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12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6</xdr:col>
      <xdr:colOff>0</xdr:colOff>
      <xdr:row>37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10</xdr:col>
      <xdr:colOff>0</xdr:colOff>
      <xdr:row>37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25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G40"/>
  <sheetViews>
    <sheetView showGridLines="0" tabSelected="1" workbookViewId="0"/>
  </sheetViews>
  <sheetFormatPr defaultRowHeight="15"/>
  <cols>
    <col min="1" max="1" width="3.7109375" customWidth="1"/>
    <col min="2" max="2" width="24.7109375" customWidth="1"/>
    <col min="3" max="3" width="3.7109375" customWidth="1"/>
    <col min="4" max="7" width="22.7109375" customWidth="1"/>
  </cols>
  <sheetData>
    <row r="2" spans="2:7">
      <c r="B2" s="1" t="s">
        <v>0</v>
      </c>
      <c r="D2" s="2" t="s">
        <v>7</v>
      </c>
      <c r="E2" s="2"/>
      <c r="F2" s="2"/>
      <c r="G2" s="2"/>
    </row>
    <row r="3" spans="2:7">
      <c r="B3" s="3" t="s">
        <v>1</v>
      </c>
      <c r="D3" s="2"/>
      <c r="E3" s="2"/>
      <c r="F3" s="2"/>
      <c r="G3" s="2"/>
    </row>
    <row r="4" spans="2:7">
      <c r="B4" s="4"/>
      <c r="D4" s="5" t="s">
        <v>8</v>
      </c>
      <c r="E4" s="5"/>
      <c r="F4" s="5"/>
      <c r="G4" s="5"/>
    </row>
    <row r="5" spans="2:7">
      <c r="B5" s="4"/>
    </row>
    <row r="6" spans="2:7">
      <c r="B6" s="4"/>
      <c r="D6" s="6" t="s">
        <v>9</v>
      </c>
      <c r="E6" s="6"/>
      <c r="F6" s="6"/>
      <c r="G6" s="6"/>
    </row>
    <row r="7" spans="2:7">
      <c r="B7" s="7" t="s">
        <v>2</v>
      </c>
      <c r="D7" s="8" t="s">
        <v>10</v>
      </c>
      <c r="E7" s="9" t="s">
        <v>11</v>
      </c>
      <c r="F7" s="9"/>
      <c r="G7" s="9"/>
    </row>
    <row r="8" spans="2:7">
      <c r="B8" s="4"/>
      <c r="D8" s="8" t="s">
        <v>12</v>
      </c>
      <c r="E8" s="9" t="s">
        <v>13</v>
      </c>
      <c r="F8" s="9"/>
      <c r="G8" s="9"/>
    </row>
    <row r="9" spans="2:7">
      <c r="B9" s="4"/>
      <c r="D9" s="8" t="s">
        <v>14</v>
      </c>
      <c r="E9" s="9" t="s">
        <v>15</v>
      </c>
      <c r="F9" s="9"/>
      <c r="G9" s="9"/>
    </row>
    <row r="10" spans="2:7">
      <c r="B10" s="10" t="s">
        <v>3</v>
      </c>
      <c r="D10" s="8" t="s">
        <v>16</v>
      </c>
      <c r="E10" s="9" t="s">
        <v>17</v>
      </c>
      <c r="F10" s="9"/>
      <c r="G10" s="9"/>
    </row>
    <row r="11" spans="2:7">
      <c r="B11" s="4"/>
      <c r="D11" s="8" t="s">
        <v>18</v>
      </c>
      <c r="E11" s="9" t="s">
        <v>19</v>
      </c>
      <c r="F11" s="9"/>
      <c r="G11" s="9"/>
    </row>
    <row r="12" spans="2:7">
      <c r="B12" s="4"/>
    </row>
    <row r="13" spans="2:7">
      <c r="B13" s="10" t="s">
        <v>4</v>
      </c>
      <c r="D13" s="6" t="s">
        <v>20</v>
      </c>
      <c r="E13" s="6"/>
      <c r="F13" s="6"/>
      <c r="G13" s="6"/>
    </row>
    <row r="14" spans="2:7">
      <c r="B14" s="4"/>
    </row>
    <row r="15" spans="2:7">
      <c r="B15" s="4"/>
      <c r="D15" s="11" t="s">
        <v>21</v>
      </c>
      <c r="E15" s="11" t="s">
        <v>22</v>
      </c>
      <c r="F15" s="11" t="s">
        <v>23</v>
      </c>
      <c r="G15" s="11" t="s">
        <v>24</v>
      </c>
    </row>
    <row r="16" spans="2:7">
      <c r="B16" s="10" t="s">
        <v>5</v>
      </c>
    </row>
    <row r="17" spans="2:2">
      <c r="B17" s="4"/>
    </row>
    <row r="18" spans="2:2">
      <c r="B18" s="4"/>
    </row>
    <row r="19" spans="2:2">
      <c r="B19" s="10" t="s">
        <v>6</v>
      </c>
    </row>
    <row r="20" spans="2:2">
      <c r="B20" s="4"/>
    </row>
    <row r="21" spans="2:2">
      <c r="B21" s="4"/>
    </row>
    <row r="22" spans="2:2">
      <c r="B22" s="4"/>
    </row>
    <row r="23" spans="2:2">
      <c r="B23" s="4"/>
    </row>
    <row r="24" spans="2:2">
      <c r="B24" s="4"/>
    </row>
    <row r="25" spans="2:2">
      <c r="B25" s="4"/>
    </row>
    <row r="26" spans="2:2">
      <c r="B26" s="4"/>
    </row>
    <row r="27" spans="2:2">
      <c r="B27" s="4"/>
    </row>
    <row r="28" spans="2:2">
      <c r="B28" s="4"/>
    </row>
    <row r="29" spans="2:2">
      <c r="B29" s="4"/>
    </row>
    <row r="30" spans="2:2">
      <c r="B30" s="4"/>
    </row>
    <row r="31" spans="2:2">
      <c r="B31" s="4"/>
    </row>
    <row r="32" spans="2:2">
      <c r="B32" s="4"/>
    </row>
    <row r="33" spans="2:2">
      <c r="B33" s="4"/>
    </row>
    <row r="34" spans="2:2">
      <c r="B34" s="4"/>
    </row>
    <row r="35" spans="2:2">
      <c r="B35" s="4"/>
    </row>
    <row r="36" spans="2:2">
      <c r="B36" s="4"/>
    </row>
    <row r="37" spans="2:2">
      <c r="B37" s="4"/>
    </row>
    <row r="38" spans="2:2">
      <c r="B38" s="4"/>
    </row>
    <row r="39" spans="2:2">
      <c r="B39" s="4"/>
    </row>
    <row r="40" spans="2:2">
      <c r="B40" s="4"/>
    </row>
  </sheetData>
  <mergeCells count="9">
    <mergeCell ref="D2:G3"/>
    <mergeCell ref="D4:G4"/>
    <mergeCell ref="D6:G6"/>
    <mergeCell ref="E7:G7"/>
    <mergeCell ref="E8:G8"/>
    <mergeCell ref="E9:G9"/>
    <mergeCell ref="E10:G10"/>
    <mergeCell ref="E11:G11"/>
    <mergeCell ref="D13:G13"/>
  </mergeCells>
  <hyperlinks>
    <hyperlink ref="B7" location="Welcome_HQ!A1" display="🏛️  HQ Cover"/>
    <hyperlink ref="B10" location="Dashboard!A1" display="📊  Dashboard"/>
    <hyperlink ref="B13" location="Summary!A1" display="📈  Summary Memo"/>
    <hyperlink ref="D15" location="Dashboard!A1" display="📊  Open Master Dashboard"/>
    <hyperlink ref="E15" location="Summary!A1" display="📈  Executive Board Memo"/>
    <hyperlink ref="F15" location="Payroll_Simulator!A1" display="💰  Open Payroll Calculator"/>
    <hyperlink ref="G15" location="Data_Engine!A1" display="🗄️  Inspect Raw Data"/>
    <hyperlink ref="B16" location="Payroll_Simulator!A1" display="💰  Payroll Simulator"/>
    <hyperlink ref="B19" location="Data_Engine!A1" display="🗄️  Data Engine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O44"/>
  <sheetViews>
    <sheetView showGridLines="0" workbookViewId="0"/>
  </sheetViews>
  <sheetFormatPr defaultRowHeight="15"/>
  <cols>
    <col min="1" max="1" width="2.7109375" customWidth="1"/>
    <col min="2" max="2" width="22.7109375" customWidth="1"/>
    <col min="3" max="3" width="2.7109375" customWidth="1"/>
    <col min="4" max="15" width="15.7109375" customWidth="1"/>
  </cols>
  <sheetData>
    <row r="2" spans="2:15" ht="28" customHeight="1">
      <c r="B2" s="1" t="s">
        <v>0</v>
      </c>
      <c r="D2" s="12" t="s">
        <v>25</v>
      </c>
      <c r="E2" s="12"/>
      <c r="F2" s="12"/>
      <c r="G2" s="12"/>
      <c r="H2" s="12"/>
      <c r="I2" s="12"/>
      <c r="J2" s="12"/>
      <c r="K2" s="12"/>
      <c r="L2" s="12"/>
      <c r="M2" s="12"/>
      <c r="N2" s="13" t="s">
        <v>26</v>
      </c>
      <c r="O2" s="13"/>
    </row>
    <row r="3" spans="2:15" ht="18" customHeight="1">
      <c r="B3" s="3" t="s">
        <v>1</v>
      </c>
      <c r="D3" s="14" t="s">
        <v>27</v>
      </c>
      <c r="E3" s="14"/>
      <c r="F3" s="14"/>
      <c r="G3" s="14"/>
      <c r="H3" s="14"/>
      <c r="I3" s="14"/>
      <c r="J3" s="14"/>
      <c r="K3" s="14"/>
      <c r="L3" s="14"/>
      <c r="M3" s="14"/>
      <c r="N3" s="13" t="s">
        <v>28</v>
      </c>
      <c r="O3" s="13"/>
    </row>
    <row r="4" spans="2:15">
      <c r="B4" s="4"/>
    </row>
    <row r="5" spans="2:15" ht="20" customHeight="1">
      <c r="B5" s="4"/>
      <c r="D5" s="15" t="s">
        <v>29</v>
      </c>
      <c r="E5" s="15"/>
      <c r="F5" s="15" t="s">
        <v>34</v>
      </c>
      <c r="G5" s="15"/>
      <c r="H5" s="15" t="s">
        <v>39</v>
      </c>
      <c r="I5" s="15"/>
      <c r="J5" s="15" t="s">
        <v>44</v>
      </c>
      <c r="K5" s="15"/>
      <c r="L5" s="15" t="s">
        <v>46</v>
      </c>
      <c r="M5" s="15"/>
      <c r="N5" s="15"/>
      <c r="O5" s="15"/>
    </row>
    <row r="6" spans="2:15" ht="20" customHeight="1">
      <c r="B6" s="4"/>
      <c r="D6" s="16" t="s">
        <v>30</v>
      </c>
      <c r="E6" s="16" t="s">
        <v>31</v>
      </c>
      <c r="F6" s="16" t="s">
        <v>35</v>
      </c>
      <c r="G6" s="16" t="s">
        <v>36</v>
      </c>
      <c r="H6" s="16" t="s">
        <v>40</v>
      </c>
      <c r="I6" s="16" t="s">
        <v>41</v>
      </c>
      <c r="J6" s="16">
        <v>2023</v>
      </c>
      <c r="K6" s="16">
        <v>2024</v>
      </c>
      <c r="L6" s="16" t="s">
        <v>47</v>
      </c>
      <c r="M6" s="16" t="s">
        <v>48</v>
      </c>
      <c r="N6" s="16" t="s">
        <v>49</v>
      </c>
      <c r="O6" s="16" t="s">
        <v>50</v>
      </c>
    </row>
    <row r="7" spans="2:15" ht="20" customHeight="1">
      <c r="B7" s="10" t="s">
        <v>2</v>
      </c>
      <c r="D7" s="16" t="s">
        <v>32</v>
      </c>
      <c r="E7" s="16" t="s">
        <v>33</v>
      </c>
      <c r="F7" s="16" t="s">
        <v>37</v>
      </c>
      <c r="G7" s="16" t="s">
        <v>38</v>
      </c>
      <c r="H7" s="16" t="s">
        <v>42</v>
      </c>
      <c r="I7" s="16" t="s">
        <v>43</v>
      </c>
      <c r="J7" s="16">
        <v>2025</v>
      </c>
      <c r="K7" s="16" t="s">
        <v>45</v>
      </c>
      <c r="L7" s="16" t="s">
        <v>51</v>
      </c>
      <c r="M7" s="16" t="s">
        <v>52</v>
      </c>
      <c r="N7" s="16" t="s">
        <v>53</v>
      </c>
      <c r="O7" s="16" t="s">
        <v>54</v>
      </c>
    </row>
    <row r="8" spans="2:15">
      <c r="B8" s="4"/>
    </row>
    <row r="9" spans="2:15" ht="18" customHeight="1">
      <c r="B9" s="4"/>
      <c r="D9" s="17" t="s">
        <v>55</v>
      </c>
      <c r="E9" s="17"/>
      <c r="F9" s="17" t="s">
        <v>57</v>
      </c>
      <c r="G9" s="17"/>
      <c r="H9" s="17" t="s">
        <v>59</v>
      </c>
      <c r="I9" s="17"/>
      <c r="J9" s="17" t="s">
        <v>61</v>
      </c>
      <c r="K9" s="17"/>
      <c r="L9" s="17" t="s">
        <v>64</v>
      </c>
      <c r="M9" s="17"/>
      <c r="N9" s="17" t="s">
        <v>67</v>
      </c>
      <c r="O9" s="17"/>
    </row>
    <row r="10" spans="2:15" ht="30" customHeight="1">
      <c r="B10" s="7" t="s">
        <v>3</v>
      </c>
      <c r="D10" s="18">
        <v>454</v>
      </c>
      <c r="E10" s="18"/>
      <c r="F10" s="18">
        <v>321</v>
      </c>
      <c r="G10" s="18"/>
      <c r="H10" s="18">
        <v>133</v>
      </c>
      <c r="I10" s="18"/>
      <c r="J10" s="18" t="s">
        <v>62</v>
      </c>
      <c r="K10" s="18"/>
      <c r="L10" s="18" t="s">
        <v>65</v>
      </c>
      <c r="M10" s="18"/>
      <c r="N10" s="18" t="s">
        <v>68</v>
      </c>
      <c r="O10" s="18"/>
    </row>
    <row r="11" spans="2:15" ht="18" customHeight="1">
      <c r="B11" s="4"/>
      <c r="D11" s="19" t="s">
        <v>56</v>
      </c>
      <c r="E11" s="19"/>
      <c r="F11" s="19" t="s">
        <v>58</v>
      </c>
      <c r="G11" s="19"/>
      <c r="H11" s="19" t="s">
        <v>60</v>
      </c>
      <c r="I11" s="19"/>
      <c r="J11" s="19" t="s">
        <v>63</v>
      </c>
      <c r="K11" s="19"/>
      <c r="L11" s="19" t="s">
        <v>66</v>
      </c>
      <c r="M11" s="19"/>
      <c r="N11" s="19" t="s">
        <v>69</v>
      </c>
      <c r="O11" s="19"/>
    </row>
    <row r="12" spans="2:15">
      <c r="B12" s="4"/>
    </row>
    <row r="13" spans="2:15">
      <c r="B13" s="10" t="s">
        <v>4</v>
      </c>
    </row>
    <row r="14" spans="2:15">
      <c r="B14" s="4"/>
    </row>
    <row r="15" spans="2:15">
      <c r="B15" s="4"/>
    </row>
    <row r="16" spans="2:15">
      <c r="B16" s="10" t="s">
        <v>5</v>
      </c>
    </row>
    <row r="17" spans="2:2">
      <c r="B17" s="4"/>
    </row>
    <row r="18" spans="2:2">
      <c r="B18" s="4"/>
    </row>
    <row r="19" spans="2:2">
      <c r="B19" s="10" t="s">
        <v>6</v>
      </c>
    </row>
    <row r="20" spans="2:2">
      <c r="B20" s="4"/>
    </row>
    <row r="21" spans="2:2">
      <c r="B21" s="4"/>
    </row>
    <row r="22" spans="2:2">
      <c r="B22" s="4"/>
    </row>
    <row r="23" spans="2:2">
      <c r="B23" s="4"/>
    </row>
    <row r="24" spans="2:2">
      <c r="B24" s="4"/>
    </row>
    <row r="25" spans="2:2">
      <c r="B25" s="4"/>
    </row>
    <row r="26" spans="2:2">
      <c r="B26" s="4"/>
    </row>
    <row r="27" spans="2:2">
      <c r="B27" s="4"/>
    </row>
    <row r="28" spans="2:2">
      <c r="B28" s="4"/>
    </row>
    <row r="29" spans="2:2">
      <c r="B29" s="4"/>
    </row>
    <row r="30" spans="2:2">
      <c r="B30" s="4"/>
    </row>
    <row r="31" spans="2:2">
      <c r="B31" s="4"/>
    </row>
    <row r="32" spans="2:2">
      <c r="B32" s="4"/>
    </row>
    <row r="33" spans="2:2">
      <c r="B33" s="4"/>
    </row>
    <row r="34" spans="2:2">
      <c r="B34" s="4"/>
    </row>
    <row r="35" spans="2:2">
      <c r="B35" s="4"/>
    </row>
    <row r="36" spans="2:2">
      <c r="B36" s="4"/>
    </row>
    <row r="37" spans="2:2">
      <c r="B37" s="4"/>
    </row>
    <row r="38" spans="2:2">
      <c r="B38" s="4"/>
    </row>
    <row r="39" spans="2:2">
      <c r="B39" s="4"/>
    </row>
    <row r="40" spans="2:2">
      <c r="B40" s="4"/>
    </row>
    <row r="41" spans="2:2">
      <c r="B41" s="4"/>
    </row>
    <row r="42" spans="2:2">
      <c r="B42" s="4"/>
    </row>
    <row r="43" spans="2:2">
      <c r="B43" s="4"/>
    </row>
    <row r="44" spans="2:2">
      <c r="B44" s="4"/>
    </row>
  </sheetData>
  <mergeCells count="27">
    <mergeCell ref="D2:M2"/>
    <mergeCell ref="N2:O2"/>
    <mergeCell ref="D3:M3"/>
    <mergeCell ref="N3:O3"/>
    <mergeCell ref="D5:E5"/>
    <mergeCell ref="F5:G5"/>
    <mergeCell ref="H5:I5"/>
    <mergeCell ref="J5:K5"/>
    <mergeCell ref="L5:O5"/>
    <mergeCell ref="D9:E9"/>
    <mergeCell ref="D10:E10"/>
    <mergeCell ref="D11:E11"/>
    <mergeCell ref="F9:G9"/>
    <mergeCell ref="F10:G10"/>
    <mergeCell ref="F11:G11"/>
    <mergeCell ref="H9:I9"/>
    <mergeCell ref="H10:I10"/>
    <mergeCell ref="H11:I11"/>
    <mergeCell ref="J9:K9"/>
    <mergeCell ref="J10:K10"/>
    <mergeCell ref="J11:K11"/>
    <mergeCell ref="L9:M9"/>
    <mergeCell ref="L10:M10"/>
    <mergeCell ref="L11:M11"/>
    <mergeCell ref="N9:O9"/>
    <mergeCell ref="N10:O10"/>
    <mergeCell ref="N11:O11"/>
  </mergeCells>
  <hyperlinks>
    <hyperlink ref="B7" location="Welcome_HQ!A1" display="🏛️  HQ Cover"/>
    <hyperlink ref="B10" location="Dashboard!A1" display="📊  Dashboard"/>
    <hyperlink ref="B13" location="Summary!A1" display="📈  Summary Memo"/>
    <hyperlink ref="B16" location="Payroll_Simulator!A1" display="💰  Payroll Simulator"/>
    <hyperlink ref="B19" location="Data_Engine!A1" display="🗄️  Data Engine"/>
  </hyperlinks>
  <pageMargins left="0.7" right="0.7" top="0.75" bottom="0.75" header="0.3" footer="0.3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B2:H35"/>
  <sheetViews>
    <sheetView showGridLines="0" workbookViewId="0"/>
  </sheetViews>
  <sheetFormatPr defaultRowHeight="15"/>
  <cols>
    <col min="1" max="1" width="2.7109375" customWidth="1"/>
    <col min="2" max="2" width="22.7109375" customWidth="1"/>
    <col min="3" max="3" width="2.7109375" customWidth="1"/>
    <col min="4" max="4" width="26.7109375" customWidth="1"/>
    <col min="5" max="8" width="22.7109375" customWidth="1"/>
  </cols>
  <sheetData>
    <row r="2" spans="2:8">
      <c r="B2" s="1" t="s">
        <v>0</v>
      </c>
      <c r="D2" s="20" t="s">
        <v>70</v>
      </c>
      <c r="E2" s="20"/>
      <c r="F2" s="20"/>
      <c r="G2" s="20"/>
      <c r="H2" s="20"/>
    </row>
    <row r="3" spans="2:8">
      <c r="B3" s="3" t="s">
        <v>1</v>
      </c>
    </row>
    <row r="4" spans="2:8">
      <c r="B4" s="4"/>
      <c r="D4" s="6" t="s">
        <v>71</v>
      </c>
      <c r="E4" s="6"/>
      <c r="F4" s="6"/>
      <c r="G4" s="6"/>
      <c r="H4" s="6"/>
    </row>
    <row r="5" spans="2:8">
      <c r="B5" s="4"/>
      <c r="D5" s="21" t="s">
        <v>72</v>
      </c>
      <c r="E5" s="21"/>
      <c r="F5" s="21"/>
      <c r="G5" s="21"/>
      <c r="H5" s="21"/>
    </row>
    <row r="6" spans="2:8">
      <c r="B6" s="4"/>
      <c r="D6" s="21"/>
      <c r="E6" s="21"/>
      <c r="F6" s="21"/>
      <c r="G6" s="21"/>
      <c r="H6" s="21"/>
    </row>
    <row r="7" spans="2:8">
      <c r="B7" s="10" t="s">
        <v>2</v>
      </c>
    </row>
    <row r="8" spans="2:8">
      <c r="B8" s="4"/>
      <c r="D8" s="6" t="s">
        <v>73</v>
      </c>
      <c r="E8" s="6"/>
      <c r="F8" s="6"/>
      <c r="G8" s="6"/>
      <c r="H8" s="6"/>
    </row>
    <row r="9" spans="2:8">
      <c r="B9" s="4"/>
      <c r="D9" s="21" t="s">
        <v>74</v>
      </c>
      <c r="E9" s="21"/>
      <c r="F9" s="21"/>
      <c r="G9" s="21"/>
      <c r="H9" s="21"/>
    </row>
    <row r="10" spans="2:8">
      <c r="B10" s="10" t="s">
        <v>3</v>
      </c>
      <c r="D10" s="21"/>
      <c r="E10" s="21"/>
      <c r="F10" s="21"/>
      <c r="G10" s="21"/>
      <c r="H10" s="21"/>
    </row>
    <row r="11" spans="2:8">
      <c r="B11" s="4"/>
      <c r="D11" s="21"/>
      <c r="E11" s="21"/>
      <c r="F11" s="21"/>
      <c r="G11" s="21"/>
      <c r="H11" s="21"/>
    </row>
    <row r="12" spans="2:8">
      <c r="B12" s="4"/>
    </row>
    <row r="13" spans="2:8">
      <c r="B13" s="7" t="s">
        <v>4</v>
      </c>
      <c r="D13" s="6" t="s">
        <v>75</v>
      </c>
      <c r="E13" s="6"/>
      <c r="F13" s="6"/>
      <c r="G13" s="6"/>
      <c r="H13" s="6"/>
    </row>
    <row r="14" spans="2:8">
      <c r="B14" s="4"/>
      <c r="D14" s="21" t="s">
        <v>76</v>
      </c>
      <c r="E14" s="21"/>
      <c r="F14" s="21"/>
      <c r="G14" s="21"/>
      <c r="H14" s="21"/>
    </row>
    <row r="15" spans="2:8">
      <c r="B15" s="4"/>
      <c r="D15" s="21"/>
      <c r="E15" s="21"/>
      <c r="F15" s="21"/>
      <c r="G15" s="21"/>
      <c r="H15" s="21"/>
    </row>
    <row r="16" spans="2:8">
      <c r="B16" s="10" t="s">
        <v>5</v>
      </c>
      <c r="D16" s="21"/>
      <c r="E16" s="21"/>
      <c r="F16" s="21"/>
      <c r="G16" s="21"/>
      <c r="H16" s="21"/>
    </row>
    <row r="17" spans="2:8">
      <c r="B17" s="4"/>
    </row>
    <row r="18" spans="2:8">
      <c r="B18" s="4"/>
      <c r="D18" s="6" t="s">
        <v>77</v>
      </c>
      <c r="E18" s="6"/>
      <c r="F18" s="6"/>
      <c r="G18" s="6"/>
      <c r="H18" s="6"/>
    </row>
    <row r="19" spans="2:8">
      <c r="B19" s="10" t="s">
        <v>6</v>
      </c>
      <c r="D19" s="22" t="s">
        <v>78</v>
      </c>
      <c r="E19" s="22"/>
      <c r="F19" s="23" t="s">
        <v>79</v>
      </c>
      <c r="G19" s="23"/>
      <c r="H19" s="24" t="s">
        <v>80</v>
      </c>
    </row>
    <row r="20" spans="2:8">
      <c r="B20" s="4"/>
      <c r="D20" s="22" t="s">
        <v>81</v>
      </c>
      <c r="E20" s="22"/>
      <c r="F20" s="23" t="s">
        <v>82</v>
      </c>
      <c r="G20" s="23"/>
      <c r="H20" s="24" t="s">
        <v>83</v>
      </c>
    </row>
    <row r="21" spans="2:8">
      <c r="B21" s="4"/>
      <c r="D21" s="22" t="s">
        <v>84</v>
      </c>
      <c r="E21" s="22"/>
      <c r="F21" s="23" t="s">
        <v>85</v>
      </c>
      <c r="G21" s="23"/>
      <c r="H21" s="24" t="s">
        <v>86</v>
      </c>
    </row>
    <row r="22" spans="2:8">
      <c r="B22" s="4"/>
      <c r="D22" s="22" t="s">
        <v>87</v>
      </c>
      <c r="E22" s="22"/>
      <c r="F22" s="23" t="s">
        <v>88</v>
      </c>
      <c r="G22" s="23"/>
      <c r="H22" s="24" t="s">
        <v>89</v>
      </c>
    </row>
    <row r="23" spans="2:8">
      <c r="B23" s="4"/>
    </row>
    <row r="24" spans="2:8">
      <c r="B24" s="4"/>
    </row>
    <row r="25" spans="2:8">
      <c r="B25" s="4"/>
    </row>
    <row r="26" spans="2:8">
      <c r="B26" s="4"/>
    </row>
    <row r="27" spans="2:8">
      <c r="B27" s="4"/>
    </row>
    <row r="28" spans="2:8">
      <c r="B28" s="4"/>
    </row>
    <row r="29" spans="2:8">
      <c r="B29" s="4"/>
    </row>
    <row r="30" spans="2:8">
      <c r="B30" s="4"/>
    </row>
    <row r="31" spans="2:8">
      <c r="B31" s="4"/>
    </row>
    <row r="32" spans="2:8">
      <c r="B32" s="4"/>
    </row>
    <row r="33" spans="2:2">
      <c r="B33" s="4"/>
    </row>
    <row r="34" spans="2:2">
      <c r="B34" s="4"/>
    </row>
    <row r="35" spans="2:2">
      <c r="B35" s="4"/>
    </row>
  </sheetData>
  <mergeCells count="16">
    <mergeCell ref="D2:H2"/>
    <mergeCell ref="D4:H4"/>
    <mergeCell ref="D5:H6"/>
    <mergeCell ref="D8:H8"/>
    <mergeCell ref="D9:H11"/>
    <mergeCell ref="D13:H13"/>
    <mergeCell ref="D14:H16"/>
    <mergeCell ref="D18:H18"/>
    <mergeCell ref="D19:E19"/>
    <mergeCell ref="F19:G19"/>
    <mergeCell ref="D20:E20"/>
    <mergeCell ref="F20:G20"/>
    <mergeCell ref="D21:E21"/>
    <mergeCell ref="F21:G21"/>
    <mergeCell ref="D22:E22"/>
    <mergeCell ref="F22:G22"/>
  </mergeCells>
  <hyperlinks>
    <hyperlink ref="B7" location="Welcome_HQ!A1" display="🏛️  HQ Cover"/>
    <hyperlink ref="B10" location="Dashboard!A1" display="📊  Dashboard"/>
    <hyperlink ref="B13" location="Summary!A1" display="📈  Summary Memo"/>
    <hyperlink ref="B16" location="Payroll_Simulator!A1" display="💰  Payroll Simulator"/>
    <hyperlink ref="B19" location="Data_Engine!A1" display="🗄️  Data Engine"/>
  </hyperlinks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B2:K30"/>
  <sheetViews>
    <sheetView showGridLines="0" workbookViewId="0"/>
  </sheetViews>
  <sheetFormatPr defaultRowHeight="15"/>
  <cols>
    <col min="1" max="1" width="2.7109375" customWidth="1"/>
    <col min="2" max="2" width="22.7109375" customWidth="1"/>
    <col min="3" max="3" width="2.7109375" customWidth="1"/>
    <col min="4" max="4" width="20.7109375" customWidth="1"/>
    <col min="5" max="5" width="18.7109375" customWidth="1"/>
    <col min="6" max="6" width="14.7109375" customWidth="1"/>
    <col min="7" max="7" width="12.7109375" customWidth="1"/>
    <col min="8" max="10" width="14.7109375" customWidth="1"/>
    <col min="11" max="11" width="16.7109375" customWidth="1"/>
  </cols>
  <sheetData>
    <row r="2" spans="2:11">
      <c r="B2" s="1" t="s">
        <v>0</v>
      </c>
      <c r="D2" s="20" t="s">
        <v>90</v>
      </c>
      <c r="E2" s="20"/>
      <c r="F2" s="20"/>
      <c r="G2" s="20"/>
      <c r="H2" s="20"/>
      <c r="I2" s="20"/>
      <c r="J2" s="20"/>
      <c r="K2" s="20"/>
    </row>
    <row r="3" spans="2:11">
      <c r="B3" s="3" t="s">
        <v>1</v>
      </c>
    </row>
    <row r="4" spans="2:11">
      <c r="B4" s="4"/>
      <c r="D4" s="25" t="s">
        <v>91</v>
      </c>
      <c r="E4" s="25" t="s">
        <v>92</v>
      </c>
      <c r="F4" s="25" t="s">
        <v>93</v>
      </c>
      <c r="G4" s="25" t="s">
        <v>94</v>
      </c>
      <c r="H4" s="25" t="s">
        <v>95</v>
      </c>
      <c r="I4" s="25" t="s">
        <v>96</v>
      </c>
      <c r="J4" s="25" t="s">
        <v>97</v>
      </c>
      <c r="K4" s="25" t="s">
        <v>98</v>
      </c>
    </row>
    <row r="5" spans="2:11">
      <c r="B5" s="4"/>
      <c r="D5" s="26" t="s">
        <v>99</v>
      </c>
      <c r="E5" s="26" t="s">
        <v>100</v>
      </c>
      <c r="F5" s="27">
        <v>42000</v>
      </c>
      <c r="G5" s="28">
        <v>80</v>
      </c>
      <c r="H5" s="27">
        <v>750</v>
      </c>
      <c r="I5" s="27">
        <f>G5*H5</f>
        <v>0</v>
      </c>
      <c r="J5" s="27">
        <f>I5*0.40</f>
        <v>0</v>
      </c>
      <c r="K5" s="27">
        <f>F5+(I5*0.60)</f>
        <v>0</v>
      </c>
    </row>
    <row r="6" spans="2:11">
      <c r="B6" s="4"/>
      <c r="D6" s="26" t="s">
        <v>101</v>
      </c>
      <c r="E6" s="26" t="s">
        <v>102</v>
      </c>
      <c r="F6" s="27">
        <v>38500</v>
      </c>
      <c r="G6" s="28">
        <v>95</v>
      </c>
      <c r="H6" s="27">
        <v>650</v>
      </c>
      <c r="I6" s="27">
        <f>G6*H6</f>
        <v>0</v>
      </c>
      <c r="J6" s="27">
        <f>I6*0.40</f>
        <v>0</v>
      </c>
      <c r="K6" s="27">
        <f>F6+(I6*0.60)</f>
        <v>0</v>
      </c>
    </row>
    <row r="7" spans="2:11">
      <c r="B7" s="10" t="s">
        <v>2</v>
      </c>
      <c r="D7" s="26" t="s">
        <v>103</v>
      </c>
      <c r="E7" s="26" t="s">
        <v>104</v>
      </c>
      <c r="F7" s="27">
        <v>36000</v>
      </c>
      <c r="G7" s="28">
        <v>70</v>
      </c>
      <c r="H7" s="27">
        <v>700</v>
      </c>
      <c r="I7" s="27">
        <f>G7*H7</f>
        <v>0</v>
      </c>
      <c r="J7" s="27">
        <f>I7*0.40</f>
        <v>0</v>
      </c>
      <c r="K7" s="27">
        <f>F7+(I7*0.60)</f>
        <v>0</v>
      </c>
    </row>
    <row r="8" spans="2:11">
      <c r="B8" s="4"/>
      <c r="D8" s="26" t="s">
        <v>105</v>
      </c>
      <c r="E8" s="26" t="s">
        <v>106</v>
      </c>
      <c r="F8" s="27">
        <v>32000</v>
      </c>
      <c r="G8" s="28">
        <v>60</v>
      </c>
      <c r="H8" s="27">
        <v>600</v>
      </c>
      <c r="I8" s="27">
        <f>G8*H8</f>
        <v>0</v>
      </c>
      <c r="J8" s="27">
        <f>I8*0.40</f>
        <v>0</v>
      </c>
      <c r="K8" s="27">
        <f>F8+(I8*0.60)</f>
        <v>0</v>
      </c>
    </row>
    <row r="9" spans="2:11">
      <c r="B9" s="4"/>
      <c r="D9" s="26" t="s">
        <v>107</v>
      </c>
      <c r="E9" s="26" t="s">
        <v>100</v>
      </c>
      <c r="F9" s="27">
        <v>34000</v>
      </c>
      <c r="G9" s="28">
        <v>85</v>
      </c>
      <c r="H9" s="27">
        <v>550</v>
      </c>
      <c r="I9" s="27">
        <f>G9*H9</f>
        <v>0</v>
      </c>
      <c r="J9" s="27">
        <f>I9*0.40</f>
        <v>0</v>
      </c>
      <c r="K9" s="27">
        <f>F9+(I9*0.60)</f>
        <v>0</v>
      </c>
    </row>
    <row r="10" spans="2:11">
      <c r="B10" s="10" t="s">
        <v>3</v>
      </c>
      <c r="D10" s="26" t="s">
        <v>108</v>
      </c>
      <c r="E10" s="26" t="s">
        <v>109</v>
      </c>
      <c r="F10" s="27">
        <v>26000</v>
      </c>
      <c r="G10" s="28">
        <v>45</v>
      </c>
      <c r="H10" s="27">
        <v>500</v>
      </c>
      <c r="I10" s="27">
        <f>G10*H10</f>
        <v>0</v>
      </c>
      <c r="J10" s="27">
        <f>I10*0.40</f>
        <v>0</v>
      </c>
      <c r="K10" s="27">
        <f>F10+(I10*0.60)</f>
        <v>0</v>
      </c>
    </row>
    <row r="11" spans="2:11">
      <c r="B11" s="4"/>
      <c r="D11" s="25" t="s">
        <v>110</v>
      </c>
      <c r="E11" s="25"/>
      <c r="F11" s="27">
        <f>SUM(F5:F10)</f>
        <v>0</v>
      </c>
      <c r="G11" s="28">
        <f>SUM(G5:G10)</f>
        <v>0</v>
      </c>
      <c r="H11" s="25" t="s">
        <v>111</v>
      </c>
      <c r="I11" s="27">
        <f>SUM(I5:I10)</f>
        <v>0</v>
      </c>
      <c r="J11" s="27">
        <f>SUM(J5:J10)</f>
        <v>0</v>
      </c>
      <c r="K11" s="27">
        <f>SUM(K5:K10)</f>
        <v>0</v>
      </c>
    </row>
    <row r="12" spans="2:11">
      <c r="B12" s="4"/>
    </row>
    <row r="13" spans="2:11">
      <c r="B13" s="10" t="s">
        <v>4</v>
      </c>
    </row>
    <row r="14" spans="2:11">
      <c r="B14" s="4"/>
    </row>
    <row r="15" spans="2:11">
      <c r="B15" s="4"/>
    </row>
    <row r="16" spans="2:11">
      <c r="B16" s="7" t="s">
        <v>5</v>
      </c>
    </row>
    <row r="17" spans="2:2">
      <c r="B17" s="4"/>
    </row>
    <row r="18" spans="2:2">
      <c r="B18" s="4"/>
    </row>
    <row r="19" spans="2:2">
      <c r="B19" s="10" t="s">
        <v>6</v>
      </c>
    </row>
    <row r="20" spans="2:2">
      <c r="B20" s="4"/>
    </row>
    <row r="21" spans="2:2">
      <c r="B21" s="4"/>
    </row>
    <row r="22" spans="2:2">
      <c r="B22" s="4"/>
    </row>
    <row r="23" spans="2:2">
      <c r="B23" s="4"/>
    </row>
    <row r="24" spans="2:2">
      <c r="B24" s="4"/>
    </row>
    <row r="25" spans="2:2">
      <c r="B25" s="4"/>
    </row>
    <row r="26" spans="2:2">
      <c r="B26" s="4"/>
    </row>
    <row r="27" spans="2:2">
      <c r="B27" s="4"/>
    </row>
    <row r="28" spans="2:2">
      <c r="B28" s="4"/>
    </row>
    <row r="29" spans="2:2">
      <c r="B29" s="4"/>
    </row>
    <row r="30" spans="2:2">
      <c r="B30" s="4"/>
    </row>
  </sheetData>
  <mergeCells count="2">
    <mergeCell ref="D2:K2"/>
    <mergeCell ref="D11:E11"/>
  </mergeCells>
  <hyperlinks>
    <hyperlink ref="B7" location="Welcome_HQ!A1" display="🏛️  HQ Cover"/>
    <hyperlink ref="B10" location="Dashboard!A1" display="📊  Dashboard"/>
    <hyperlink ref="B13" location="Summary!A1" display="📈  Summary Memo"/>
    <hyperlink ref="B16" location="Payroll_Simulator!A1" display="💰  Payroll Simulator"/>
    <hyperlink ref="B19" location="Data_Engine!A1" display="🗄️  Data Engine"/>
  </hyperlink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26" width="22.7109375" customWidth="1"/>
  </cols>
  <sheetData>
    <row r="1" spans="1:7">
      <c r="A1" s="25" t="s">
        <v>112</v>
      </c>
      <c r="B1" s="25" t="s">
        <v>113</v>
      </c>
      <c r="C1" s="25" t="s">
        <v>114</v>
      </c>
      <c r="E1" s="25" t="s">
        <v>118</v>
      </c>
      <c r="F1" s="25" t="s">
        <v>119</v>
      </c>
      <c r="G1" s="25" t="s">
        <v>120</v>
      </c>
    </row>
    <row r="2" spans="1:7">
      <c r="A2" s="26" t="s">
        <v>33</v>
      </c>
      <c r="B2" s="28">
        <v>28</v>
      </c>
      <c r="C2" s="29">
        <v>0.062</v>
      </c>
      <c r="E2" s="26" t="s">
        <v>47</v>
      </c>
      <c r="F2" s="28">
        <v>42</v>
      </c>
      <c r="G2" s="28">
        <v>26</v>
      </c>
    </row>
    <row r="3" spans="1:7">
      <c r="A3" s="26" t="s">
        <v>115</v>
      </c>
      <c r="B3" s="28">
        <v>47</v>
      </c>
      <c r="C3" s="29">
        <v>0.104</v>
      </c>
      <c r="E3" s="26" t="s">
        <v>48</v>
      </c>
      <c r="F3" s="28">
        <v>90</v>
      </c>
      <c r="G3" s="28">
        <v>13</v>
      </c>
    </row>
    <row r="4" spans="1:7">
      <c r="A4" s="26" t="s">
        <v>31</v>
      </c>
      <c r="B4" s="28">
        <v>58</v>
      </c>
      <c r="C4" s="29">
        <v>0.128</v>
      </c>
      <c r="E4" s="26" t="s">
        <v>49</v>
      </c>
      <c r="F4" s="28">
        <v>161</v>
      </c>
      <c r="G4" s="28">
        <v>25</v>
      </c>
    </row>
    <row r="5" spans="1:7">
      <c r="A5" s="26" t="s">
        <v>116</v>
      </c>
      <c r="B5" s="28">
        <v>83</v>
      </c>
      <c r="C5" s="29">
        <v>0.183</v>
      </c>
      <c r="E5" s="26" t="s">
        <v>50</v>
      </c>
      <c r="F5" s="28">
        <v>247</v>
      </c>
      <c r="G5" s="28">
        <v>27</v>
      </c>
    </row>
    <row r="6" spans="1:7">
      <c r="A6" s="26" t="s">
        <v>32</v>
      </c>
      <c r="B6" s="28">
        <v>104</v>
      </c>
      <c r="C6" s="29">
        <v>0.229</v>
      </c>
      <c r="E6" s="26" t="s">
        <v>51</v>
      </c>
      <c r="F6" s="28">
        <v>284</v>
      </c>
      <c r="G6" s="28">
        <v>18</v>
      </c>
    </row>
    <row r="7" spans="1:7">
      <c r="A7" s="26" t="s">
        <v>117</v>
      </c>
      <c r="B7" s="28">
        <v>134</v>
      </c>
      <c r="C7" s="29">
        <v>0.295</v>
      </c>
      <c r="E7" s="26" t="s">
        <v>52</v>
      </c>
      <c r="F7" s="28">
        <v>321</v>
      </c>
      <c r="G7" s="28">
        <v>24</v>
      </c>
    </row>
    <row r="10" spans="1:7">
      <c r="A10" s="25" t="s">
        <v>112</v>
      </c>
      <c r="B10" s="25" t="s">
        <v>121</v>
      </c>
      <c r="E10" s="25" t="s">
        <v>127</v>
      </c>
      <c r="F10" s="25" t="s">
        <v>128</v>
      </c>
    </row>
    <row r="11" spans="1:7">
      <c r="A11" s="26" t="s">
        <v>122</v>
      </c>
      <c r="B11" s="29">
        <v>0.39</v>
      </c>
      <c r="E11" s="26" t="s">
        <v>129</v>
      </c>
      <c r="F11" s="28">
        <v>19</v>
      </c>
    </row>
    <row r="12" spans="1:7">
      <c r="A12" s="26" t="s">
        <v>123</v>
      </c>
      <c r="B12" s="29">
        <v>0.3</v>
      </c>
      <c r="E12" s="26" t="s">
        <v>130</v>
      </c>
      <c r="F12" s="28">
        <v>55</v>
      </c>
    </row>
    <row r="13" spans="1:7">
      <c r="A13" s="26" t="s">
        <v>124</v>
      </c>
      <c r="B13" s="29">
        <v>0.29</v>
      </c>
      <c r="E13" s="26" t="s">
        <v>131</v>
      </c>
      <c r="F13" s="28">
        <v>80</v>
      </c>
    </row>
    <row r="14" spans="1:7">
      <c r="A14" s="26" t="s">
        <v>31</v>
      </c>
      <c r="B14" s="29">
        <v>0.25</v>
      </c>
      <c r="E14" s="26" t="s">
        <v>132</v>
      </c>
      <c r="F14" s="28">
        <v>130</v>
      </c>
    </row>
    <row r="15" spans="1:7">
      <c r="A15" s="26" t="s">
        <v>125</v>
      </c>
      <c r="B15" s="29">
        <v>0.12</v>
      </c>
      <c r="E15" s="26" t="s">
        <v>133</v>
      </c>
      <c r="F15" s="28">
        <v>170</v>
      </c>
    </row>
    <row r="16" spans="1:7">
      <c r="A16" s="26" t="s">
        <v>126</v>
      </c>
      <c r="B16" s="29">
        <v>0.08</v>
      </c>
    </row>
    <row r="18" spans="1:2">
      <c r="A18" s="25" t="s">
        <v>134</v>
      </c>
      <c r="B18" s="25" t="s">
        <v>135</v>
      </c>
    </row>
    <row r="19" spans="1:2">
      <c r="A19" s="26" t="s">
        <v>35</v>
      </c>
      <c r="B19" s="28">
        <v>92</v>
      </c>
    </row>
    <row r="20" spans="1:2">
      <c r="A20" s="26" t="s">
        <v>36</v>
      </c>
      <c r="B20" s="28">
        <v>84</v>
      </c>
    </row>
    <row r="21" spans="1:2">
      <c r="A21" s="26" t="s">
        <v>37</v>
      </c>
      <c r="B21" s="28">
        <v>76</v>
      </c>
    </row>
    <row r="22" spans="1:2">
      <c r="A22" s="26" t="s">
        <v>38</v>
      </c>
      <c r="B22" s="28">
        <v>68</v>
      </c>
    </row>
    <row r="23" spans="1:2">
      <c r="A23" s="26" t="s">
        <v>136</v>
      </c>
      <c r="B23" s="28">
        <v>54</v>
      </c>
    </row>
    <row r="24" spans="1:2">
      <c r="A24" s="26" t="s">
        <v>137</v>
      </c>
      <c r="B24" s="28">
        <v>48</v>
      </c>
    </row>
    <row r="25" spans="1:2">
      <c r="A25" s="26" t="s">
        <v>138</v>
      </c>
      <c r="B25" s="28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Welcome_HQ</vt:lpstr>
      <vt:lpstr>Dashboard</vt:lpstr>
      <vt:lpstr>Summary</vt:lpstr>
      <vt:lpstr>Payroll_Simulator</vt:lpstr>
      <vt:lpstr>Data_Engine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2026-10-24T14:04:49Z</dcterms:created>
  <dcterms:modified xsi:type="dcterms:W3CDTF">2026-10-24T14:04:49Z</dcterms:modified>
</cp:coreProperties>
</file>